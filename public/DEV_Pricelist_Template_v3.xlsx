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list" sheetId="1" r:id="rId1"/>
    <sheet name="Column_Guid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4.83203125" customWidth="1"/>
    <col min="12" max="12" width="16.83203125" customWidth="1"/>
    <col min="13" max="13" width="12.83203125" customWidth="1"/>
    <col min="14" max="14" width="21.83203125" customWidth="1"/>
    <col min="15" max="15" width="12.83203125" customWidth="1"/>
    <col min="16" max="16" width="14.83203125" customWidth="1"/>
    <col min="17" max="17" width="14.83203125" customWidth="1"/>
    <col min="18" max="18" width="12.83203125" customWidth="1"/>
    <col min="19" max="19" width="15.83203125" customWidth="1"/>
    <col min="20" max="20" width="12.83203125" customWidth="1"/>
    <col min="21" max="21" width="12.83203125" customWidth="1"/>
    <col min="22" max="22" width="13.83203125" customWidth="1"/>
  </cols>
  <sheetData>
    <row r="1">
      <c r="A1" t="str">
        <v>sku_key</v>
      </c>
      <c r="B1" t="str">
        <v>category</v>
      </c>
      <c r="C1" t="str">
        <v>sub_type</v>
      </c>
      <c r="D1" t="str">
        <v>model_no</v>
      </c>
      <c r="E1" t="str">
        <v>size_spec</v>
      </c>
      <c r="F1" t="str">
        <v>variant</v>
      </c>
      <c r="G1" t="str">
        <v>unit</v>
      </c>
      <c r="H1" t="str">
        <v>price</v>
      </c>
      <c r="I1" t="str">
        <v>price_qty</v>
      </c>
      <c r="J1" t="str">
        <v>unit_price</v>
      </c>
      <c r="K1" t="str">
        <v>discount_pct</v>
      </c>
      <c r="L1" t="str">
        <v>net_unit_price</v>
      </c>
      <c r="M1" t="str">
        <v>gst_pct</v>
      </c>
      <c r="N1" t="str">
        <v>unit_price_incl_gst</v>
      </c>
      <c r="O1" t="str">
        <v>price_type</v>
      </c>
      <c r="P1" t="str">
        <v>gst_included</v>
      </c>
      <c r="Q1" t="str">
        <v>price_status</v>
      </c>
      <c r="R1" t="str">
        <v>pack_qty</v>
      </c>
      <c r="S1" t="str">
        <v>supplier_name</v>
      </c>
      <c r="T1" t="str">
        <v>brand</v>
      </c>
      <c r="U1" t="str">
        <v>valid_from</v>
      </c>
      <c r="V1" t="str">
        <v>source_page</v>
      </c>
    </row>
    <row r="2">
      <c r="A2" t="str">
        <v>FTC-0001</v>
      </c>
      <c r="B2" t="str">
        <v>Hammer</v>
      </c>
      <c r="C2" t="str">
        <v>Ball Pein</v>
      </c>
      <c r="D2" t="str">
        <v/>
      </c>
      <c r="E2" t="str">
        <v>500 g</v>
      </c>
      <c r="F2" t="str">
        <v>With Handle</v>
      </c>
      <c r="G2" t="str">
        <v>Each</v>
      </c>
      <c r="H2">
        <v>120</v>
      </c>
      <c r="I2">
        <v>1</v>
      </c>
      <c r="J2">
        <f>IF(H2="","",ROUND(H2/I2,2))</f>
      </c>
      <c r="K2">
        <v>10</v>
      </c>
      <c r="L2">
        <f>IF(J2="","",ROUND(J2*(1-N(K2)/100),2))</f>
      </c>
      <c r="M2">
        <v>18</v>
      </c>
      <c r="N2">
        <f>IF(L2="","",IF(P2="YES",L2,ROUND(L2*(1+M2/100),2)))</f>
      </c>
      <c r="O2" t="str">
        <v>LIST</v>
      </c>
      <c r="P2" t="str">
        <v>NO</v>
      </c>
      <c r="Q2" t="str">
        <v>PRICED</v>
      </c>
      <c r="R2">
        <v>1</v>
      </c>
      <c r="S2" t="str">
        <v>Fine Tools Co</v>
      </c>
      <c r="T2" t="str">
        <v>FTC</v>
      </c>
      <c r="U2" t="str">
        <v>2026-10-01</v>
      </c>
      <c r="V2">
        <v>12</v>
      </c>
    </row>
    <row r="3">
      <c r="A3" t="str">
        <v>FTC-0002</v>
      </c>
      <c r="B3" t="str">
        <v>Screw</v>
      </c>
      <c r="C3" t="str">
        <v>Phillips</v>
      </c>
      <c r="D3" t="str">
        <v/>
      </c>
      <c r="E3" t="str">
        <v>6x100</v>
      </c>
      <c r="F3" t="str">
        <v/>
      </c>
      <c r="G3" t="str">
        <v>Pack</v>
      </c>
      <c r="H3">
        <v>400</v>
      </c>
      <c r="I3">
        <v>100</v>
      </c>
      <c r="J3">
        <f>IF(H3="","",ROUND(H3/I3,2))</f>
      </c>
      <c r="K3">
        <v>0</v>
      </c>
      <c r="L3">
        <f>IF(J3="","",ROUND(J3*(1-N(K3)/100),2))</f>
      </c>
      <c r="M3">
        <v>18</v>
      </c>
      <c r="N3">
        <f>IF(L3="","",IF(P3="YES",L3,ROUND(L3*(1+M3/100),2)))</f>
      </c>
      <c r="O3" t="str">
        <v>LIST</v>
      </c>
      <c r="P3" t="str">
        <v>NO</v>
      </c>
      <c r="Q3" t="str">
        <v>PRICED</v>
      </c>
      <c r="R3">
        <v>100</v>
      </c>
      <c r="S3" t="str">
        <v>Fine Tools Co</v>
      </c>
      <c r="T3" t="str">
        <v>FTC</v>
      </c>
      <c r="U3" t="str">
        <v>2026-10-01</v>
      </c>
      <c r="V3">
        <v>15</v>
      </c>
    </row>
    <row r="4">
      <c r="A4" t="str">
        <v>FTC-0003</v>
      </c>
      <c r="B4" t="str">
        <v>Hammer</v>
      </c>
      <c r="C4" t="str">
        <v>Sledge</v>
      </c>
      <c r="D4" t="str">
        <v/>
      </c>
      <c r="E4" t="str">
        <v>3 kg</v>
      </c>
      <c r="F4" t="str">
        <v/>
      </c>
      <c r="G4" t="str">
        <v>Each</v>
      </c>
      <c r="H4" t="str">
        <v/>
      </c>
      <c r="I4">
        <v>1</v>
      </c>
      <c r="J4">
        <f>IF(H4="","",ROUND(H4/I4,2))</f>
      </c>
      <c r="K4">
        <v>0</v>
      </c>
      <c r="L4">
        <f>IF(J4="","",ROUND(J4*(1-N(K4)/100),2))</f>
      </c>
      <c r="M4">
        <v>18</v>
      </c>
      <c r="N4">
        <f>IF(L4="","",IF(P4="YES",L4,ROUND(L4*(1+M4/100),2)))</f>
      </c>
      <c r="O4" t="str">
        <v>LIST</v>
      </c>
      <c r="P4" t="str">
        <v>NO</v>
      </c>
      <c r="Q4" t="str">
        <v>ON_REQUEST</v>
      </c>
      <c r="R4">
        <v>1</v>
      </c>
      <c r="S4" t="str">
        <v>Fine Tools Co</v>
      </c>
      <c r="T4" t="str">
        <v>FTC</v>
      </c>
      <c r="U4" t="str">
        <v>2026-10-01</v>
      </c>
      <c r="V4">
        <v>18</v>
      </c>
    </row>
  </sheetData>
  <ignoredErrors>
    <ignoredError numberStoredAsText="1" sqref="A1:V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column</v>
      </c>
      <c r="B1" t="str">
        <v>required</v>
      </c>
      <c r="C1" t="str">
        <v>allowed values / notes</v>
      </c>
    </row>
    <row r="2">
      <c r="A2" t="str">
        <v>sku_key</v>
      </c>
      <c r="B2" t="str">
        <v>YES</v>
      </c>
      <c r="C2" t="str">
        <v>Unique per row. Prefix before first '-' = supplier code (e.g. FTC-0001)</v>
      </c>
    </row>
    <row r="3">
      <c r="A3" t="str">
        <v>category</v>
      </c>
      <c r="B3" t="str">
        <v>YES</v>
      </c>
      <c r="C3" t="str">
        <v/>
      </c>
    </row>
    <row r="4">
      <c r="A4" t="str">
        <v>sub_type / model_no / size_spec / variant</v>
      </c>
      <c r="B4" t="str">
        <v>no</v>
      </c>
      <c r="C4" t="str">
        <v>Free text</v>
      </c>
    </row>
    <row r="5">
      <c r="A5" t="str">
        <v>unit</v>
      </c>
      <c r="B5" t="str">
        <v>YES</v>
      </c>
      <c r="C5" t="str">
        <v>Each, Set, Pair, Pack, Kg</v>
      </c>
    </row>
    <row r="6">
      <c r="A6" t="str">
        <v>price</v>
      </c>
      <c r="B6" t="str">
        <v>YES</v>
      </c>
      <c r="C6" t="str">
        <v>Number &gt;= 0. Blank only if price_status = ON_REQUEST</v>
      </c>
    </row>
    <row r="7">
      <c r="A7" t="str">
        <v>price_qty</v>
      </c>
      <c r="B7" t="str">
        <v>YES</v>
      </c>
      <c r="C7" t="str">
        <v>Price is for this many units (default 1)</v>
      </c>
    </row>
    <row r="8">
      <c r="A8" t="str">
        <v>unit_price, net_unit_price, unit_price_incl_gst</v>
      </c>
      <c r="B8" t="str">
        <v>auto</v>
      </c>
      <c r="C8" t="str">
        <v>Recalculated by server - leave formulas or blank</v>
      </c>
    </row>
    <row r="9">
      <c r="A9" t="str">
        <v>discount_pct</v>
      </c>
      <c r="B9" t="str">
        <v>no</v>
      </c>
      <c r="C9" t="str">
        <v>0-100, blank = 0</v>
      </c>
    </row>
    <row r="10">
      <c r="A10" t="str">
        <v>gst_pct</v>
      </c>
      <c r="B10" t="str">
        <v>YES</v>
      </c>
      <c r="C10" t="str">
        <v>0, 5, 12, 18, 28 ...</v>
      </c>
    </row>
    <row r="11">
      <c r="A11" t="str">
        <v>price_type</v>
      </c>
      <c r="B11" t="str">
        <v>YES</v>
      </c>
      <c r="C11" t="str">
        <v>LIST, MRP, DEALER, NET</v>
      </c>
    </row>
    <row r="12">
      <c r="A12" t="str">
        <v>gst_included</v>
      </c>
      <c r="B12" t="str">
        <v>YES</v>
      </c>
      <c r="C12" t="str">
        <v>YES or NO</v>
      </c>
    </row>
    <row r="13">
      <c r="A13" t="str">
        <v>price_status</v>
      </c>
      <c r="B13" t="str">
        <v>YES</v>
      </c>
      <c r="C13" t="str">
        <v>PRICED or ON_REQUEST</v>
      </c>
    </row>
    <row r="14">
      <c r="A14" t="str">
        <v>pack_qty</v>
      </c>
      <c r="B14" t="str">
        <v>no</v>
      </c>
      <c r="C14" t="str">
        <v>Number</v>
      </c>
    </row>
    <row r="15">
      <c r="A15" t="str">
        <v>supplier_name</v>
      </c>
      <c r="B15" t="str">
        <v>YES</v>
      </c>
      <c r="C15" t="str">
        <v>Same for the whole file</v>
      </c>
    </row>
    <row r="16">
      <c r="A16" t="str">
        <v>brand</v>
      </c>
      <c r="B16" t="str">
        <v>no</v>
      </c>
      <c r="C16" t="str">
        <v/>
      </c>
    </row>
    <row r="17">
      <c r="A17" t="str">
        <v>valid_from</v>
      </c>
      <c r="B17" t="str">
        <v>YES</v>
      </c>
      <c r="C17" t="str">
        <v>YYYY-MM-DD</v>
      </c>
    </row>
    <row r="18">
      <c r="A18" t="str">
        <v>source_page</v>
      </c>
      <c r="B18" t="str">
        <v>no</v>
      </c>
      <c r="C18" t="str">
        <v>Number</v>
      </c>
    </row>
    <row r="19">
      <c r="A19" t="str">
        <v>RULE</v>
      </c>
      <c r="B19" t="str">
        <v/>
      </c>
      <c r="C19" t="str">
        <v>One supplier per file. Do not rename/reorder the 22 columns. Only sheet 'Pricelist' is read.</v>
      </c>
    </row>
  </sheetData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Pricelist</vt:lpstr>
      <vt:lpstr>Column_Guide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